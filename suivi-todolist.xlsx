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acle\Downloads\"/>
    </mc:Choice>
  </mc:AlternateContent>
  <xr:revisionPtr revIDLastSave="0" documentId="13_ncr:1_{F9734578-C950-4EFB-8F54-C58E410666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ynthese" sheetId="1" r:id="rId1"/>
    <sheet name="liste des ta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E5" i="1"/>
  <c r="D5" i="1"/>
  <c r="C5" i="1"/>
  <c r="B5" i="1"/>
  <c r="E4" i="1"/>
  <c r="E7" i="1" s="1"/>
  <c r="D4" i="1"/>
  <c r="D7" i="1" s="1"/>
  <c r="C4" i="1"/>
  <c r="C7" i="1" s="1"/>
  <c r="B4" i="1"/>
  <c r="B7" i="1" s="1"/>
</calcChain>
</file>

<file path=xl/sharedStrings.xml><?xml version="1.0" encoding="utf-8"?>
<sst xmlns="http://schemas.openxmlformats.org/spreadsheetml/2006/main" count="464" uniqueCount="179">
  <si>
    <t>Synthèse par personne (Qui)</t>
  </si>
  <si>
    <t>Qui</t>
  </si>
  <si>
    <t>Tâches</t>
  </si>
  <si>
    <t>Estimation totale</t>
  </si>
  <si>
    <t>Temps passé total</t>
  </si>
  <si>
    <t>Reste total</t>
  </si>
  <si>
    <t>Avancement %</t>
  </si>
  <si>
    <t>TOTAL</t>
  </si>
  <si>
    <t>Catégorie</t>
  </si>
  <si>
    <t>Module</t>
  </si>
  <si>
    <t>Nom page</t>
  </si>
  <si>
    <t>Description</t>
  </si>
  <si>
    <t>Type</t>
  </si>
  <si>
    <t>Estimation</t>
  </si>
  <si>
    <t>Temps passé</t>
  </si>
  <si>
    <t>Reste à faire</t>
  </si>
  <si>
    <t>Avancement</t>
  </si>
  <si>
    <t>Status</t>
  </si>
  <si>
    <t>CONCEPTION BASE DE DONNEES</t>
  </si>
  <si>
    <t>TABLES</t>
  </si>
  <si>
    <t>users</t>
  </si>
  <si>
    <t>identifiants et profils utilisateurs</t>
  </si>
  <si>
    <t>Base</t>
  </si>
  <si>
    <t>OK</t>
  </si>
  <si>
    <t>region</t>
  </si>
  <si>
    <t>regions geographiques</t>
  </si>
  <si>
    <t>ville</t>
  </si>
  <si>
    <t>villes avec reference region</t>
  </si>
  <si>
    <t>objet_nature, objet_materiaux</t>
  </si>
  <si>
    <t>articles disponibles avec prix unitaire</t>
  </si>
  <si>
    <t>besoin_nature, besoin_materiaux, besoin_argent</t>
  </si>
  <si>
    <t>besoins par ville references</t>
  </si>
  <si>
    <t>dons</t>
  </si>
  <si>
    <t>enregistrements de dons utilisateur</t>
  </si>
  <si>
    <t>dons_nature, dons_materiaux, dons_argent</t>
  </si>
  <si>
    <t>details des dons effectues</t>
  </si>
  <si>
    <t>achats</t>
  </si>
  <si>
    <t>historique des achats par utilisateur et ville</t>
  </si>
  <si>
    <t>achat_lignes</t>
  </si>
  <si>
    <t>lignes detaillees des achats</t>
  </si>
  <si>
    <t>mysql</t>
  </si>
  <si>
    <t>DONNEES</t>
  </si>
  <si>
    <t>insertion.sql donnees test pour chaque table</t>
  </si>
  <si>
    <t>DONNEES 4078</t>
  </si>
  <si>
    <t>ARCHITECTURE PHP</t>
  </si>
  <si>
    <t>AUTHENTIFICATION</t>
  </si>
  <si>
    <t>LoginController 4078</t>
  </si>
  <si>
    <t>Code intégration</t>
  </si>
  <si>
    <t>AUTHENTIFICATION 4078</t>
  </si>
  <si>
    <t>LoginController</t>
  </si>
  <si>
    <t>Fonction</t>
  </si>
  <si>
    <t>showLogin()</t>
  </si>
  <si>
    <t>affiche formulaire connexion</t>
  </si>
  <si>
    <t>login()</t>
  </si>
  <si>
    <t>valide email/password et cree session utilisateur</t>
  </si>
  <si>
    <t>RegisterController/LoginController</t>
  </si>
  <si>
    <t>RegisterController/LoginController 4078</t>
  </si>
  <si>
    <t>showRegister()</t>
  </si>
  <si>
    <t>affiche formulaire inscription</t>
  </si>
  <si>
    <t>register()</t>
  </si>
  <si>
    <t>validation input et creation nouvel utilisateur en base</t>
  </si>
  <si>
    <t>UserModel</t>
  </si>
  <si>
    <t>UserModel 4078</t>
  </si>
  <si>
    <t>checkLogin()</t>
  </si>
  <si>
    <t>requete WHERE mail/mdp et retour utilisateur</t>
  </si>
  <si>
    <t>checkUserExists()</t>
  </si>
  <si>
    <t>verifie doublon email</t>
  </si>
  <si>
    <t>registerUser()</t>
  </si>
  <si>
    <t>INSERT utilisateur avec donnees validees</t>
  </si>
  <si>
    <t>DONS</t>
  </si>
  <si>
    <t>DonController 4064</t>
  </si>
  <si>
    <t>DONS 4064</t>
  </si>
  <si>
    <t>DonController</t>
  </si>
  <si>
    <t>form()</t>
  </si>
  <si>
    <t>affiche formulaire avec villes/besoins disponibles</t>
  </si>
  <si>
    <t>submit()</t>
  </si>
  <si>
    <t>validation et enregistrement don en base</t>
  </si>
  <si>
    <t>DonModel</t>
  </si>
  <si>
    <t>DonModel 4064</t>
  </si>
  <si>
    <t>getDons()</t>
  </si>
  <si>
    <t>SELECT historique dons avec details utilisateur</t>
  </si>
  <si>
    <t>insertDon()</t>
  </si>
  <si>
    <t>INSERT dons + dons_nature/materiaux/argent selon type</t>
  </si>
  <si>
    <t>getBesoinsVille()</t>
  </si>
  <si>
    <t>recupere besoins ville cible</t>
  </si>
  <si>
    <t>ACHATS</t>
  </si>
  <si>
    <t>AchatController 4107</t>
  </si>
  <si>
    <t>ACHATS 4107</t>
  </si>
  <si>
    <t>AchatController</t>
  </si>
  <si>
    <t>index()</t>
  </si>
  <si>
    <t>affiche liste achats par utilisateur</t>
  </si>
  <si>
    <t>create()</t>
  </si>
  <si>
    <t>creation nouvel achat + lignes</t>
  </si>
  <si>
    <t>show()</t>
  </si>
  <si>
    <t>detail achat specifique avec ses lignes</t>
  </si>
  <si>
    <t>AchatModel</t>
  </si>
  <si>
    <t>AchatModel 4107</t>
  </si>
  <si>
    <t>getAchats()</t>
  </si>
  <si>
    <t>SELECT achats joins ville/utilisateur</t>
  </si>
  <si>
    <t>createAchat()</t>
  </si>
  <si>
    <t>INSERT achat + achat_lignes</t>
  </si>
  <si>
    <t>getAchatById()</t>
  </si>
  <si>
    <t>recupere achat avec details</t>
  </si>
  <si>
    <t>VILLES ET BESOINS</t>
  </si>
  <si>
    <t>VilleModel 4064</t>
  </si>
  <si>
    <t>VILLES ET BESOINS 4064</t>
  </si>
  <si>
    <t>VilleModel</t>
  </si>
  <si>
    <t>getVilles()</t>
  </si>
  <si>
    <t>SELECT villes groupees par region</t>
  </si>
  <si>
    <t>SELECT besoins nature/materiaux/argent pour ville</t>
  </si>
  <si>
    <t>getBesoinsTotal()</t>
  </si>
  <si>
    <t>somme besoins par type et ville</t>
  </si>
  <si>
    <t>RECAPITULATIF</t>
  </si>
  <si>
    <t>RecapController 4064</t>
  </si>
  <si>
    <t>RECAPITULATIF 4064</t>
  </si>
  <si>
    <t>RecapController</t>
  </si>
  <si>
    <t>affiche dashboard global</t>
  </si>
  <si>
    <t>data()</t>
  </si>
  <si>
    <t>retourne JSON donnees pour graphiques</t>
  </si>
  <si>
    <t>RecapModel</t>
  </si>
  <si>
    <t>RecapModel 4064</t>
  </si>
  <si>
    <t>getBesoinsVsDons()</t>
  </si>
  <si>
    <t>compare besoins satisfaits vs non satisfaits</t>
  </si>
  <si>
    <t>getStatistiques()</t>
  </si>
  <si>
    <t>totaux dons/achats par type</t>
  </si>
  <si>
    <t>Layouts</t>
  </si>
  <si>
    <t>header</t>
  </si>
  <si>
    <t>barre navigation avec liens accueil/achats/dons/recap</t>
  </si>
  <si>
    <t>Affichage</t>
  </si>
  <si>
    <t>footer</t>
  </si>
  <si>
    <t>scripts bootstrap</t>
  </si>
  <si>
    <t>Vues</t>
  </si>
  <si>
    <t>login.php</t>
  </si>
  <si>
    <t>formulaire email/password</t>
  </si>
  <si>
    <t>register.php</t>
  </si>
  <si>
    <t>formulaire nom/email/password/numero</t>
  </si>
  <si>
    <t>accueil.php</t>
  </si>
  <si>
    <t>titre et navigation</t>
  </si>
  <si>
    <t>faireDon.php</t>
  </si>
  <si>
    <t>selecteur ville</t>
  </si>
  <si>
    <t>achats.php</t>
  </si>
  <si>
    <t>tableau historique achats utilisateur</t>
  </si>
  <si>
    <t>achat_show.php</t>
  </si>
  <si>
    <t>infos achat (date/ville/total)</t>
  </si>
  <si>
    <t>recap.php</t>
  </si>
  <si>
    <t>dashboard globale</t>
  </si>
  <si>
    <t>VENTE 4064</t>
  </si>
  <si>
    <t>VenteController 4064</t>
  </si>
  <si>
    <t>form() - affiche formulaire vente</t>
  </si>
  <si>
    <t>store() - enregistre vente</t>
  </si>
  <si>
    <t>VenteModel 4064</t>
  </si>
  <si>
    <t>stockNature() - stock nature disponible</t>
  </si>
  <si>
    <t>stockMateriau() - stock materiaux disponible</t>
  </si>
  <si>
    <t>besoinRestantMateriaux() - calcul besoins restants</t>
  </si>
  <si>
    <t>prixMateriaux() - recup prix materiaux</t>
  </si>
  <si>
    <t>mergeLines() - fusion lignes vente</t>
  </si>
  <si>
    <t>vendreMixte() - insert vente</t>
  </si>
  <si>
    <t>RESET 4078</t>
  </si>
  <si>
    <t>ResetController 4078</t>
  </si>
  <si>
    <t>reset() - vide les tables</t>
  </si>
  <si>
    <t>REDUCTION 4078</t>
  </si>
  <si>
    <t>ReductionController 4078</t>
  </si>
  <si>
    <t>ChangeReduction() - modifie reduction</t>
  </si>
  <si>
    <t>ReductionModel 4078</t>
  </si>
  <si>
    <t>setReductionPourcentage() - update reduction</t>
  </si>
  <si>
    <t>RECAPITULATIF 4078</t>
  </si>
  <si>
    <t>RecapModel 4078</t>
  </si>
  <si>
    <t>correction insertion depassement besoins</t>
  </si>
  <si>
    <t>Correction</t>
  </si>
  <si>
    <t>affichage dons nature et materiaux</t>
  </si>
  <si>
    <t>vendre.php</t>
  </si>
  <si>
    <t>formulaire vente</t>
  </si>
  <si>
    <t>reduction.php</t>
  </si>
  <si>
    <t>formulaire reduction</t>
  </si>
  <si>
    <t>DESIGN</t>
  </si>
  <si>
    <t>UI</t>
  </si>
  <si>
    <t>icones</t>
  </si>
  <si>
    <t>ajout icones pages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</si>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</sst>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sePersonne" displayName="SynthesePersonne" ref="A3:F7">
  <autoFilter ref="A3:F7" xr:uid="{00000000-0009-0000-0100-000001000000}"/>
  <tableColumns count="6">
    <tableColumn id="1" xr3:uid="{00000000-0010-0000-0000-000001000000}" name="Qui"/>
    <tableColumn id="2" xr3:uid="{00000000-0010-0000-0000-000002000000}" name="Tâches"/>
    <tableColumn id="3" xr3:uid="{00000000-0010-0000-0000-000003000000}" name="Estimation totale"/>
    <tableColumn id="4" xr3:uid="{00000000-0010-0000-0000-000004000000}" name="Temps passé total"/>
    <tableColumn id="5" xr3:uid="{00000000-0010-0000-0000-000005000000}" name="Reste total"/>
    <tableColumn id="6" xr3:uid="{00000000-0010-0000-0000-000006000000}" name="Avancement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pane ySplit="3" topLeftCell="A4" activePane="bottomLeft" state="frozen"/>
      <selection pane="bottomLeft" activeCell="D6" sqref="D6"/>
    </sheetView>
  </sheetViews>
  <sheetFormatPr defaultRowHeight="14.4" x14ac:dyDescent="0.3"/>
  <cols>
    <col min="1" max="1" width="31" customWidth="1"/>
    <col min="2" max="5" width="35" customWidth="1"/>
    <col min="6" max="6" width="34" customWidth="1"/>
  </cols>
  <sheetData>
    <row r="1" spans="1:6" ht="18" x14ac:dyDescent="0.35">
      <c r="A1" s="2" t="s">
        <v>0</v>
      </c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">
      <c r="A4">
        <v>4064</v>
      </c>
      <c r="B4">
        <f>COUNTIF('liste des taches'!J2:J77,A4)</f>
        <v>37</v>
      </c>
      <c r="C4">
        <f>SUMIF('liste des taches'!J2:J77,A4,'liste des taches'!F2:F77)</f>
        <v>815</v>
      </c>
      <c r="D4">
        <f>SUMIF('liste des taches'!J2:J77,A4,'liste des taches'!G2:G77)</f>
        <v>670</v>
      </c>
      <c r="E4">
        <f>SUMIF('liste des taches'!J2:J77,A4,'liste des taches'!H2:H77)</f>
        <v>0</v>
      </c>
      <c r="F4">
        <v>100</v>
      </c>
    </row>
    <row r="5" spans="1:6" x14ac:dyDescent="0.3">
      <c r="A5">
        <v>4078</v>
      </c>
      <c r="B5">
        <f>COUNTIF('liste des taches'!J2:J77,A5)</f>
        <v>26</v>
      </c>
      <c r="C5">
        <f>SUMIF('liste des taches'!J2:J77,A5,'liste des taches'!F2:F77)</f>
        <v>555</v>
      </c>
      <c r="D5">
        <f>SUMIF('liste des taches'!J2:J77,A5,'liste des taches'!G2:G77)</f>
        <v>410</v>
      </c>
      <c r="E5">
        <f>SUMIF('liste des taches'!J2:J77,A5,'liste des taches'!H2:H77)</f>
        <v>0</v>
      </c>
      <c r="F5">
        <v>100</v>
      </c>
    </row>
    <row r="6" spans="1:6" x14ac:dyDescent="0.3">
      <c r="A6">
        <v>4107</v>
      </c>
      <c r="B6">
        <f>COUNTIF('liste des taches'!J2:J77,A6)</f>
        <v>13</v>
      </c>
      <c r="C6">
        <f>SUMIF('liste des taches'!J2:J77,A6,'liste des taches'!F2:F77)</f>
        <v>290</v>
      </c>
      <c r="D6">
        <f>SUMIF('liste des taches'!J2:J77,A6,'liste des taches'!G2:G77)</f>
        <v>235</v>
      </c>
      <c r="E6">
        <f>SUMIF('liste des taches'!J2:J77,A6,'liste des taches'!H2:H77)</f>
        <v>0</v>
      </c>
      <c r="F6">
        <v>100</v>
      </c>
    </row>
    <row r="7" spans="1:6" x14ac:dyDescent="0.3">
      <c r="A7" s="4" t="s">
        <v>7</v>
      </c>
      <c r="B7" s="4">
        <f>SUM(B4:B6)</f>
        <v>76</v>
      </c>
      <c r="C7" s="4">
        <f>SUM(C4:C6)</f>
        <v>1660</v>
      </c>
      <c r="D7" s="4">
        <f>SUM(D4:D6)</f>
        <v>1315</v>
      </c>
      <c r="E7" s="4">
        <f>SUM(E4:E6)</f>
        <v>0</v>
      </c>
      <c r="F7" s="4">
        <v>100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abSelected="1" topLeftCell="C1" workbookViewId="0">
      <pane ySplit="1" topLeftCell="A66" activePane="bottomLeft" state="frozen"/>
      <selection pane="bottomLeft" activeCell="D82" sqref="D82"/>
    </sheetView>
  </sheetViews>
  <sheetFormatPr defaultRowHeight="14.4" x14ac:dyDescent="0.3"/>
  <cols>
    <col min="1" max="1" width="28" customWidth="1"/>
    <col min="2" max="2" width="41" customWidth="1"/>
    <col min="3" max="3" width="48" customWidth="1"/>
    <col min="4" max="4" width="55" customWidth="1"/>
    <col min="5" max="5" width="18" customWidth="1"/>
    <col min="6" max="6" width="12" customWidth="1"/>
    <col min="7" max="7" width="13" customWidth="1"/>
    <col min="8" max="8" width="15" customWidth="1"/>
    <col min="9" max="9" width="12" customWidth="1"/>
    <col min="10" max="10" width="6" customWidth="1"/>
    <col min="11" max="11" width="8" customWidth="1"/>
  </cols>
  <sheetData>
    <row r="1" spans="1:1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s="1" t="s">
        <v>17</v>
      </c>
    </row>
    <row r="2" spans="1:11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15</v>
      </c>
      <c r="G2">
        <v>5</v>
      </c>
      <c r="H2">
        <v>0</v>
      </c>
      <c r="I2">
        <v>100</v>
      </c>
      <c r="J2">
        <v>4078</v>
      </c>
      <c r="K2" t="s">
        <v>23</v>
      </c>
    </row>
    <row r="3" spans="1:11" x14ac:dyDescent="0.3">
      <c r="A3" t="s">
        <v>18</v>
      </c>
      <c r="B3" t="s">
        <v>19</v>
      </c>
      <c r="C3" t="s">
        <v>24</v>
      </c>
      <c r="D3" t="s">
        <v>25</v>
      </c>
      <c r="E3" t="s">
        <v>22</v>
      </c>
      <c r="F3">
        <v>15</v>
      </c>
      <c r="G3">
        <v>10</v>
      </c>
      <c r="H3">
        <v>0</v>
      </c>
      <c r="I3">
        <v>100</v>
      </c>
      <c r="J3">
        <v>4064</v>
      </c>
      <c r="K3" t="s">
        <v>23</v>
      </c>
    </row>
    <row r="4" spans="1:11" x14ac:dyDescent="0.3">
      <c r="A4" t="s">
        <v>18</v>
      </c>
      <c r="B4" t="s">
        <v>19</v>
      </c>
      <c r="C4" t="s">
        <v>26</v>
      </c>
      <c r="D4" t="s">
        <v>27</v>
      </c>
      <c r="E4" t="s">
        <v>22</v>
      </c>
      <c r="F4">
        <v>15</v>
      </c>
      <c r="G4">
        <v>5</v>
      </c>
      <c r="H4">
        <v>0</v>
      </c>
      <c r="I4">
        <v>100</v>
      </c>
      <c r="J4">
        <v>4064</v>
      </c>
      <c r="K4" t="s">
        <v>23</v>
      </c>
    </row>
    <row r="5" spans="1:11" x14ac:dyDescent="0.3">
      <c r="A5" t="s">
        <v>18</v>
      </c>
      <c r="B5" t="s">
        <v>19</v>
      </c>
      <c r="C5" t="s">
        <v>28</v>
      </c>
      <c r="D5" t="s">
        <v>29</v>
      </c>
      <c r="E5" t="s">
        <v>22</v>
      </c>
      <c r="F5">
        <v>40</v>
      </c>
      <c r="G5">
        <v>30</v>
      </c>
      <c r="H5">
        <v>0</v>
      </c>
      <c r="I5">
        <v>100</v>
      </c>
      <c r="J5">
        <v>4107</v>
      </c>
      <c r="K5" t="s">
        <v>23</v>
      </c>
    </row>
    <row r="6" spans="1:11" x14ac:dyDescent="0.3">
      <c r="A6" t="s">
        <v>18</v>
      </c>
      <c r="B6" t="s">
        <v>19</v>
      </c>
      <c r="C6" t="s">
        <v>30</v>
      </c>
      <c r="D6" t="s">
        <v>31</v>
      </c>
      <c r="E6" t="s">
        <v>22</v>
      </c>
      <c r="F6">
        <v>30</v>
      </c>
      <c r="G6">
        <v>30</v>
      </c>
      <c r="H6">
        <v>0</v>
      </c>
      <c r="I6">
        <v>100</v>
      </c>
      <c r="J6">
        <v>4064</v>
      </c>
      <c r="K6" t="s">
        <v>23</v>
      </c>
    </row>
    <row r="7" spans="1:11" x14ac:dyDescent="0.3">
      <c r="A7" t="s">
        <v>18</v>
      </c>
      <c r="B7" t="s">
        <v>19</v>
      </c>
      <c r="C7" t="s">
        <v>32</v>
      </c>
      <c r="D7" t="s">
        <v>33</v>
      </c>
      <c r="E7" t="s">
        <v>22</v>
      </c>
      <c r="F7">
        <v>30</v>
      </c>
      <c r="G7">
        <v>30</v>
      </c>
      <c r="H7">
        <v>0</v>
      </c>
      <c r="I7">
        <v>100</v>
      </c>
      <c r="J7">
        <v>4078</v>
      </c>
      <c r="K7" t="s">
        <v>23</v>
      </c>
    </row>
    <row r="8" spans="1:11" x14ac:dyDescent="0.3">
      <c r="A8" t="s">
        <v>18</v>
      </c>
      <c r="B8" t="s">
        <v>19</v>
      </c>
      <c r="C8" t="s">
        <v>34</v>
      </c>
      <c r="D8" t="s">
        <v>35</v>
      </c>
      <c r="E8" t="s">
        <v>22</v>
      </c>
      <c r="F8">
        <v>25</v>
      </c>
      <c r="G8">
        <v>30</v>
      </c>
      <c r="H8">
        <v>0</v>
      </c>
      <c r="I8">
        <v>100</v>
      </c>
      <c r="J8">
        <v>4078</v>
      </c>
      <c r="K8" t="s">
        <v>23</v>
      </c>
    </row>
    <row r="9" spans="1:11" x14ac:dyDescent="0.3">
      <c r="A9" t="s">
        <v>18</v>
      </c>
      <c r="B9" t="s">
        <v>19</v>
      </c>
      <c r="C9" t="s">
        <v>36</v>
      </c>
      <c r="D9" t="s">
        <v>37</v>
      </c>
      <c r="E9" t="s">
        <v>22</v>
      </c>
      <c r="F9">
        <v>20</v>
      </c>
      <c r="G9">
        <v>20</v>
      </c>
      <c r="H9">
        <v>0</v>
      </c>
      <c r="I9">
        <v>100</v>
      </c>
      <c r="J9">
        <v>4107</v>
      </c>
      <c r="K9" t="s">
        <v>23</v>
      </c>
    </row>
    <row r="10" spans="1:11" x14ac:dyDescent="0.3">
      <c r="A10" t="s">
        <v>18</v>
      </c>
      <c r="B10" t="s">
        <v>19</v>
      </c>
      <c r="C10" t="s">
        <v>38</v>
      </c>
      <c r="D10" t="s">
        <v>39</v>
      </c>
      <c r="E10" t="s">
        <v>22</v>
      </c>
      <c r="F10">
        <v>15</v>
      </c>
      <c r="G10">
        <v>20</v>
      </c>
      <c r="H10">
        <v>0</v>
      </c>
      <c r="I10">
        <v>100</v>
      </c>
      <c r="J10">
        <v>4107</v>
      </c>
      <c r="K10" t="s">
        <v>23</v>
      </c>
    </row>
    <row r="11" spans="1:11" x14ac:dyDescent="0.3">
      <c r="A11" t="s">
        <v>18</v>
      </c>
      <c r="B11" t="s">
        <v>40</v>
      </c>
      <c r="C11" t="s">
        <v>41</v>
      </c>
      <c r="D11" t="s">
        <v>42</v>
      </c>
      <c r="E11" t="s">
        <v>22</v>
      </c>
      <c r="F11">
        <v>15</v>
      </c>
      <c r="G11">
        <v>15</v>
      </c>
      <c r="H11">
        <v>0</v>
      </c>
      <c r="I11">
        <v>100</v>
      </c>
      <c r="J11">
        <v>4078</v>
      </c>
      <c r="K11" t="s">
        <v>23</v>
      </c>
    </row>
    <row r="12" spans="1:11" x14ac:dyDescent="0.3">
      <c r="A12" t="s">
        <v>18</v>
      </c>
      <c r="B12" t="s">
        <v>43</v>
      </c>
      <c r="C12" t="s">
        <v>42</v>
      </c>
      <c r="E12" t="s">
        <v>22</v>
      </c>
      <c r="F12">
        <v>20</v>
      </c>
      <c r="G12">
        <v>15</v>
      </c>
      <c r="H12">
        <v>0</v>
      </c>
      <c r="I12">
        <v>100</v>
      </c>
      <c r="J12">
        <v>4078</v>
      </c>
      <c r="K12" t="s">
        <v>23</v>
      </c>
    </row>
    <row r="13" spans="1:11" x14ac:dyDescent="0.3">
      <c r="A13" t="s">
        <v>44</v>
      </c>
      <c r="B13" t="s">
        <v>44</v>
      </c>
      <c r="C13" t="s">
        <v>45</v>
      </c>
      <c r="D13" t="s">
        <v>46</v>
      </c>
      <c r="E13" t="s">
        <v>47</v>
      </c>
      <c r="F13">
        <v>35</v>
      </c>
      <c r="G13">
        <v>30</v>
      </c>
      <c r="H13">
        <v>0</v>
      </c>
      <c r="I13">
        <v>100</v>
      </c>
      <c r="J13">
        <v>4078</v>
      </c>
      <c r="K13" t="s">
        <v>23</v>
      </c>
    </row>
    <row r="14" spans="1:11" x14ac:dyDescent="0.3">
      <c r="A14" t="s">
        <v>44</v>
      </c>
      <c r="B14" t="s">
        <v>48</v>
      </c>
      <c r="C14" t="s">
        <v>49</v>
      </c>
      <c r="E14" t="s">
        <v>50</v>
      </c>
      <c r="F14">
        <v>25</v>
      </c>
      <c r="G14">
        <v>20</v>
      </c>
      <c r="H14">
        <v>0</v>
      </c>
      <c r="I14">
        <v>100</v>
      </c>
      <c r="J14">
        <v>4078</v>
      </c>
      <c r="K14" t="s">
        <v>23</v>
      </c>
    </row>
    <row r="15" spans="1:11" x14ac:dyDescent="0.3">
      <c r="A15" t="s">
        <v>44</v>
      </c>
      <c r="B15" t="s">
        <v>46</v>
      </c>
      <c r="C15" t="s">
        <v>51</v>
      </c>
      <c r="D15" t="s">
        <v>52</v>
      </c>
      <c r="E15" t="s">
        <v>47</v>
      </c>
      <c r="F15">
        <v>15</v>
      </c>
      <c r="G15">
        <v>5</v>
      </c>
      <c r="H15">
        <v>0</v>
      </c>
      <c r="I15">
        <v>100</v>
      </c>
      <c r="J15">
        <v>4078</v>
      </c>
      <c r="K15" t="s">
        <v>23</v>
      </c>
    </row>
    <row r="16" spans="1:11" x14ac:dyDescent="0.3">
      <c r="A16" t="s">
        <v>44</v>
      </c>
      <c r="B16" t="s">
        <v>46</v>
      </c>
      <c r="C16" t="s">
        <v>53</v>
      </c>
      <c r="D16" t="s">
        <v>54</v>
      </c>
      <c r="E16" t="s">
        <v>47</v>
      </c>
      <c r="F16">
        <v>15</v>
      </c>
      <c r="G16">
        <v>10</v>
      </c>
      <c r="H16">
        <v>0</v>
      </c>
      <c r="I16">
        <v>100</v>
      </c>
      <c r="J16">
        <v>4078</v>
      </c>
      <c r="K16" t="s">
        <v>23</v>
      </c>
    </row>
    <row r="17" spans="1:11" x14ac:dyDescent="0.3">
      <c r="A17" t="s">
        <v>44</v>
      </c>
      <c r="B17" t="s">
        <v>48</v>
      </c>
      <c r="C17" t="s">
        <v>55</v>
      </c>
      <c r="E17" t="s">
        <v>50</v>
      </c>
      <c r="F17">
        <v>20</v>
      </c>
      <c r="G17">
        <v>20</v>
      </c>
      <c r="H17">
        <v>0</v>
      </c>
      <c r="I17">
        <v>100</v>
      </c>
      <c r="J17">
        <v>4078</v>
      </c>
      <c r="K17" t="s">
        <v>23</v>
      </c>
    </row>
    <row r="18" spans="1:11" x14ac:dyDescent="0.3">
      <c r="A18" t="s">
        <v>44</v>
      </c>
      <c r="B18" t="s">
        <v>56</v>
      </c>
      <c r="C18" t="s">
        <v>57</v>
      </c>
      <c r="D18" t="s">
        <v>58</v>
      </c>
      <c r="E18" t="s">
        <v>47</v>
      </c>
      <c r="F18">
        <v>15</v>
      </c>
      <c r="G18">
        <v>5</v>
      </c>
      <c r="H18">
        <v>0</v>
      </c>
      <c r="I18">
        <v>100</v>
      </c>
      <c r="J18">
        <v>4078</v>
      </c>
      <c r="K18" t="s">
        <v>23</v>
      </c>
    </row>
    <row r="19" spans="1:11" x14ac:dyDescent="0.3">
      <c r="A19" t="s">
        <v>44</v>
      </c>
      <c r="B19" t="s">
        <v>56</v>
      </c>
      <c r="C19" t="s">
        <v>59</v>
      </c>
      <c r="D19" t="s">
        <v>60</v>
      </c>
      <c r="E19" t="s">
        <v>47</v>
      </c>
      <c r="F19">
        <v>15</v>
      </c>
      <c r="G19">
        <v>10</v>
      </c>
      <c r="H19">
        <v>0</v>
      </c>
      <c r="I19">
        <v>100</v>
      </c>
      <c r="J19">
        <v>4078</v>
      </c>
      <c r="K19" t="s">
        <v>23</v>
      </c>
    </row>
    <row r="20" spans="1:11" x14ac:dyDescent="0.3">
      <c r="A20" t="s">
        <v>44</v>
      </c>
      <c r="B20" t="s">
        <v>48</v>
      </c>
      <c r="C20" t="s">
        <v>61</v>
      </c>
      <c r="E20" t="s">
        <v>50</v>
      </c>
      <c r="F20">
        <v>15</v>
      </c>
      <c r="G20">
        <v>5</v>
      </c>
      <c r="H20">
        <v>0</v>
      </c>
      <c r="I20">
        <v>100</v>
      </c>
      <c r="J20">
        <v>4078</v>
      </c>
      <c r="K20" t="s">
        <v>23</v>
      </c>
    </row>
    <row r="21" spans="1:11" x14ac:dyDescent="0.3">
      <c r="A21" t="s">
        <v>44</v>
      </c>
      <c r="B21" t="s">
        <v>62</v>
      </c>
      <c r="C21" t="s">
        <v>63</v>
      </c>
      <c r="D21" t="s">
        <v>64</v>
      </c>
      <c r="E21" t="s">
        <v>50</v>
      </c>
      <c r="F21">
        <v>40</v>
      </c>
      <c r="G21">
        <v>30</v>
      </c>
      <c r="H21">
        <v>0</v>
      </c>
      <c r="I21">
        <v>100</v>
      </c>
      <c r="J21">
        <v>4078</v>
      </c>
      <c r="K21" t="s">
        <v>23</v>
      </c>
    </row>
    <row r="22" spans="1:11" x14ac:dyDescent="0.3">
      <c r="A22" t="s">
        <v>44</v>
      </c>
      <c r="B22" t="s">
        <v>62</v>
      </c>
      <c r="C22" t="s">
        <v>65</v>
      </c>
      <c r="D22" t="s">
        <v>66</v>
      </c>
      <c r="E22" t="s">
        <v>50</v>
      </c>
      <c r="F22">
        <v>15</v>
      </c>
      <c r="G22">
        <v>10</v>
      </c>
      <c r="H22">
        <v>0</v>
      </c>
      <c r="I22">
        <v>100</v>
      </c>
      <c r="J22">
        <v>4078</v>
      </c>
      <c r="K22" t="s">
        <v>23</v>
      </c>
    </row>
    <row r="23" spans="1:11" x14ac:dyDescent="0.3">
      <c r="A23" t="s">
        <v>44</v>
      </c>
      <c r="B23" t="s">
        <v>62</v>
      </c>
      <c r="C23" t="s">
        <v>67</v>
      </c>
      <c r="D23" t="s">
        <v>68</v>
      </c>
      <c r="E23" t="s">
        <v>47</v>
      </c>
      <c r="F23">
        <v>15</v>
      </c>
      <c r="G23">
        <v>10</v>
      </c>
      <c r="H23">
        <v>0</v>
      </c>
      <c r="I23">
        <v>100</v>
      </c>
      <c r="J23">
        <v>4078</v>
      </c>
      <c r="K23" t="s">
        <v>23</v>
      </c>
    </row>
    <row r="24" spans="1:11" x14ac:dyDescent="0.3">
      <c r="A24" t="s">
        <v>44</v>
      </c>
      <c r="B24" t="s">
        <v>44</v>
      </c>
      <c r="C24" t="s">
        <v>69</v>
      </c>
      <c r="D24" t="s">
        <v>70</v>
      </c>
      <c r="E24" t="s">
        <v>47</v>
      </c>
      <c r="F24">
        <v>15</v>
      </c>
      <c r="G24">
        <v>5</v>
      </c>
      <c r="H24">
        <v>0</v>
      </c>
      <c r="I24">
        <v>100</v>
      </c>
      <c r="J24">
        <v>4064</v>
      </c>
      <c r="K24" t="s">
        <v>23</v>
      </c>
    </row>
    <row r="25" spans="1:11" x14ac:dyDescent="0.3">
      <c r="A25" t="s">
        <v>44</v>
      </c>
      <c r="B25" t="s">
        <v>71</v>
      </c>
      <c r="C25" t="s">
        <v>72</v>
      </c>
      <c r="E25" t="s">
        <v>50</v>
      </c>
      <c r="F25">
        <v>75</v>
      </c>
      <c r="G25">
        <v>70</v>
      </c>
      <c r="H25">
        <v>0</v>
      </c>
      <c r="I25">
        <v>100</v>
      </c>
      <c r="J25">
        <v>4064</v>
      </c>
      <c r="K25" t="s">
        <v>23</v>
      </c>
    </row>
    <row r="26" spans="1:11" x14ac:dyDescent="0.3">
      <c r="A26" t="s">
        <v>44</v>
      </c>
      <c r="B26" t="s">
        <v>70</v>
      </c>
      <c r="C26" t="s">
        <v>73</v>
      </c>
      <c r="D26" t="s">
        <v>74</v>
      </c>
      <c r="E26" t="s">
        <v>47</v>
      </c>
      <c r="F26">
        <v>15</v>
      </c>
      <c r="G26">
        <v>10</v>
      </c>
      <c r="H26">
        <v>0</v>
      </c>
      <c r="I26">
        <v>100</v>
      </c>
      <c r="J26">
        <v>4064</v>
      </c>
      <c r="K26" t="s">
        <v>23</v>
      </c>
    </row>
    <row r="27" spans="1:11" x14ac:dyDescent="0.3">
      <c r="A27" t="s">
        <v>44</v>
      </c>
      <c r="B27" t="s">
        <v>70</v>
      </c>
      <c r="C27" t="s">
        <v>75</v>
      </c>
      <c r="D27" t="s">
        <v>76</v>
      </c>
      <c r="E27" t="s">
        <v>47</v>
      </c>
      <c r="F27">
        <v>15</v>
      </c>
      <c r="G27">
        <v>15</v>
      </c>
      <c r="H27">
        <v>0</v>
      </c>
      <c r="I27">
        <v>100</v>
      </c>
      <c r="J27">
        <v>4064</v>
      </c>
      <c r="K27" t="s">
        <v>23</v>
      </c>
    </row>
    <row r="28" spans="1:11" x14ac:dyDescent="0.3">
      <c r="A28" t="s">
        <v>44</v>
      </c>
      <c r="B28" t="s">
        <v>71</v>
      </c>
      <c r="C28" t="s">
        <v>77</v>
      </c>
      <c r="E28" t="s">
        <v>50</v>
      </c>
      <c r="F28">
        <v>15</v>
      </c>
      <c r="G28">
        <v>10</v>
      </c>
      <c r="H28">
        <v>0</v>
      </c>
      <c r="I28">
        <v>100</v>
      </c>
      <c r="J28">
        <v>4064</v>
      </c>
      <c r="K28" t="s">
        <v>23</v>
      </c>
    </row>
    <row r="29" spans="1:11" x14ac:dyDescent="0.3">
      <c r="A29" t="s">
        <v>44</v>
      </c>
      <c r="B29" t="s">
        <v>78</v>
      </c>
      <c r="C29" t="s">
        <v>79</v>
      </c>
      <c r="D29" t="s">
        <v>80</v>
      </c>
      <c r="E29" t="s">
        <v>50</v>
      </c>
      <c r="F29">
        <v>15</v>
      </c>
      <c r="G29">
        <v>15</v>
      </c>
      <c r="H29">
        <v>0</v>
      </c>
      <c r="I29">
        <v>100</v>
      </c>
      <c r="J29">
        <v>4064</v>
      </c>
      <c r="K29" t="s">
        <v>23</v>
      </c>
    </row>
    <row r="30" spans="1:11" x14ac:dyDescent="0.3">
      <c r="A30" t="s">
        <v>44</v>
      </c>
      <c r="B30" t="s">
        <v>78</v>
      </c>
      <c r="C30" t="s">
        <v>81</v>
      </c>
      <c r="D30" t="s">
        <v>82</v>
      </c>
      <c r="E30" t="s">
        <v>50</v>
      </c>
      <c r="F30">
        <v>20</v>
      </c>
      <c r="G30">
        <v>15</v>
      </c>
      <c r="H30">
        <v>0</v>
      </c>
      <c r="I30">
        <v>100</v>
      </c>
      <c r="J30">
        <v>4064</v>
      </c>
      <c r="K30" t="s">
        <v>23</v>
      </c>
    </row>
    <row r="31" spans="1:11" x14ac:dyDescent="0.3">
      <c r="A31" t="s">
        <v>44</v>
      </c>
      <c r="B31" t="s">
        <v>78</v>
      </c>
      <c r="C31" t="s">
        <v>83</v>
      </c>
      <c r="D31" t="s">
        <v>84</v>
      </c>
      <c r="E31" t="s">
        <v>50</v>
      </c>
      <c r="F31">
        <v>15</v>
      </c>
      <c r="G31">
        <v>10</v>
      </c>
      <c r="H31">
        <v>0</v>
      </c>
      <c r="I31">
        <v>100</v>
      </c>
      <c r="J31">
        <v>4064</v>
      </c>
      <c r="K31" t="s">
        <v>23</v>
      </c>
    </row>
    <row r="32" spans="1:11" x14ac:dyDescent="0.3">
      <c r="A32" t="s">
        <v>44</v>
      </c>
      <c r="B32" t="s">
        <v>44</v>
      </c>
      <c r="C32" t="s">
        <v>85</v>
      </c>
      <c r="D32" t="s">
        <v>86</v>
      </c>
      <c r="E32" t="s">
        <v>47</v>
      </c>
      <c r="F32">
        <v>15</v>
      </c>
      <c r="G32">
        <v>5</v>
      </c>
      <c r="H32">
        <v>0</v>
      </c>
      <c r="I32">
        <v>100</v>
      </c>
      <c r="J32">
        <v>4107</v>
      </c>
      <c r="K32" t="s">
        <v>23</v>
      </c>
    </row>
    <row r="33" spans="1:11" x14ac:dyDescent="0.3">
      <c r="A33" t="s">
        <v>44</v>
      </c>
      <c r="B33" t="s">
        <v>87</v>
      </c>
      <c r="C33" t="s">
        <v>88</v>
      </c>
      <c r="E33" t="s">
        <v>50</v>
      </c>
      <c r="F33">
        <v>15</v>
      </c>
      <c r="G33">
        <v>10</v>
      </c>
      <c r="H33">
        <v>0</v>
      </c>
      <c r="I33">
        <v>100</v>
      </c>
      <c r="J33">
        <v>4107</v>
      </c>
      <c r="K33" t="s">
        <v>23</v>
      </c>
    </row>
    <row r="34" spans="1:11" x14ac:dyDescent="0.3">
      <c r="A34" t="s">
        <v>44</v>
      </c>
      <c r="B34" t="s">
        <v>86</v>
      </c>
      <c r="C34" t="s">
        <v>89</v>
      </c>
      <c r="D34" t="s">
        <v>90</v>
      </c>
      <c r="E34" t="s">
        <v>47</v>
      </c>
      <c r="F34">
        <v>15</v>
      </c>
      <c r="G34">
        <v>10</v>
      </c>
      <c r="H34">
        <v>0</v>
      </c>
      <c r="I34">
        <v>100</v>
      </c>
      <c r="J34">
        <v>4107</v>
      </c>
      <c r="K34" t="s">
        <v>23</v>
      </c>
    </row>
    <row r="35" spans="1:11" x14ac:dyDescent="0.3">
      <c r="A35" t="s">
        <v>44</v>
      </c>
      <c r="B35" t="s">
        <v>86</v>
      </c>
      <c r="C35" t="s">
        <v>91</v>
      </c>
      <c r="D35" t="s">
        <v>92</v>
      </c>
      <c r="E35" t="s">
        <v>47</v>
      </c>
      <c r="F35">
        <v>15</v>
      </c>
      <c r="G35">
        <v>5</v>
      </c>
      <c r="H35">
        <v>0</v>
      </c>
      <c r="I35">
        <v>100</v>
      </c>
      <c r="J35">
        <v>4107</v>
      </c>
      <c r="K35" t="s">
        <v>23</v>
      </c>
    </row>
    <row r="36" spans="1:11" x14ac:dyDescent="0.3">
      <c r="A36" t="s">
        <v>44</v>
      </c>
      <c r="B36" t="s">
        <v>86</v>
      </c>
      <c r="C36" t="s">
        <v>93</v>
      </c>
      <c r="D36" t="s">
        <v>94</v>
      </c>
      <c r="E36" t="s">
        <v>47</v>
      </c>
      <c r="F36">
        <v>15</v>
      </c>
      <c r="G36">
        <v>5</v>
      </c>
      <c r="H36">
        <v>0</v>
      </c>
      <c r="I36">
        <v>100</v>
      </c>
      <c r="J36">
        <v>4107</v>
      </c>
      <c r="K36" t="s">
        <v>23</v>
      </c>
    </row>
    <row r="37" spans="1:11" x14ac:dyDescent="0.3">
      <c r="A37" t="s">
        <v>44</v>
      </c>
      <c r="B37" t="s">
        <v>87</v>
      </c>
      <c r="C37" t="s">
        <v>95</v>
      </c>
      <c r="E37" t="s">
        <v>50</v>
      </c>
      <c r="F37">
        <v>25</v>
      </c>
      <c r="G37">
        <v>20</v>
      </c>
      <c r="H37">
        <v>0</v>
      </c>
      <c r="I37">
        <v>100</v>
      </c>
      <c r="J37">
        <v>4107</v>
      </c>
      <c r="K37" t="s">
        <v>23</v>
      </c>
    </row>
    <row r="38" spans="1:11" x14ac:dyDescent="0.3">
      <c r="A38" t="s">
        <v>44</v>
      </c>
      <c r="B38" t="s">
        <v>96</v>
      </c>
      <c r="C38" t="s">
        <v>97</v>
      </c>
      <c r="D38" t="s">
        <v>98</v>
      </c>
      <c r="E38" t="s">
        <v>50</v>
      </c>
      <c r="F38">
        <v>15</v>
      </c>
      <c r="G38">
        <v>10</v>
      </c>
      <c r="H38">
        <v>0</v>
      </c>
      <c r="I38">
        <v>100</v>
      </c>
      <c r="J38">
        <v>4107</v>
      </c>
      <c r="K38" t="s">
        <v>23</v>
      </c>
    </row>
    <row r="39" spans="1:11" x14ac:dyDescent="0.3">
      <c r="A39" t="s">
        <v>44</v>
      </c>
      <c r="B39" t="s">
        <v>96</v>
      </c>
      <c r="C39" t="s">
        <v>99</v>
      </c>
      <c r="D39" t="s">
        <v>100</v>
      </c>
      <c r="E39" t="s">
        <v>47</v>
      </c>
      <c r="F39">
        <v>70</v>
      </c>
      <c r="G39">
        <v>70</v>
      </c>
      <c r="H39">
        <v>0</v>
      </c>
      <c r="I39">
        <v>100</v>
      </c>
      <c r="J39">
        <v>4107</v>
      </c>
      <c r="K39" t="s">
        <v>23</v>
      </c>
    </row>
    <row r="40" spans="1:11" x14ac:dyDescent="0.3">
      <c r="A40" t="s">
        <v>44</v>
      </c>
      <c r="B40" t="s">
        <v>96</v>
      </c>
      <c r="C40" t="s">
        <v>101</v>
      </c>
      <c r="D40" t="s">
        <v>102</v>
      </c>
      <c r="E40" t="s">
        <v>50</v>
      </c>
      <c r="F40">
        <v>15</v>
      </c>
      <c r="G40">
        <v>10</v>
      </c>
      <c r="H40">
        <v>0</v>
      </c>
      <c r="I40">
        <v>100</v>
      </c>
      <c r="J40">
        <v>4107</v>
      </c>
      <c r="K40" t="s">
        <v>23</v>
      </c>
    </row>
    <row r="41" spans="1:11" x14ac:dyDescent="0.3">
      <c r="A41" t="s">
        <v>44</v>
      </c>
      <c r="B41" t="s">
        <v>44</v>
      </c>
      <c r="C41" t="s">
        <v>103</v>
      </c>
      <c r="D41" t="s">
        <v>104</v>
      </c>
      <c r="E41" t="s">
        <v>47</v>
      </c>
      <c r="F41">
        <v>15</v>
      </c>
      <c r="G41">
        <v>5</v>
      </c>
      <c r="H41">
        <v>0</v>
      </c>
      <c r="I41">
        <v>100</v>
      </c>
      <c r="J41">
        <v>4064</v>
      </c>
      <c r="K41" t="s">
        <v>23</v>
      </c>
    </row>
    <row r="42" spans="1:11" x14ac:dyDescent="0.3">
      <c r="A42" t="s">
        <v>44</v>
      </c>
      <c r="B42" t="s">
        <v>105</v>
      </c>
      <c r="C42" t="s">
        <v>106</v>
      </c>
      <c r="E42" t="s">
        <v>50</v>
      </c>
      <c r="F42">
        <v>15</v>
      </c>
      <c r="G42">
        <v>10</v>
      </c>
      <c r="H42">
        <v>0</v>
      </c>
      <c r="I42">
        <v>100</v>
      </c>
      <c r="J42">
        <v>4064</v>
      </c>
      <c r="K42" t="s">
        <v>23</v>
      </c>
    </row>
    <row r="43" spans="1:11" x14ac:dyDescent="0.3">
      <c r="A43" t="s">
        <v>44</v>
      </c>
      <c r="B43" t="s">
        <v>104</v>
      </c>
      <c r="C43" t="s">
        <v>107</v>
      </c>
      <c r="D43" t="s">
        <v>108</v>
      </c>
      <c r="E43" t="s">
        <v>50</v>
      </c>
      <c r="F43">
        <v>15</v>
      </c>
      <c r="G43">
        <v>10</v>
      </c>
      <c r="H43">
        <v>0</v>
      </c>
      <c r="I43">
        <v>100</v>
      </c>
      <c r="J43">
        <v>4064</v>
      </c>
      <c r="K43" t="s">
        <v>23</v>
      </c>
    </row>
    <row r="44" spans="1:11" x14ac:dyDescent="0.3">
      <c r="A44" t="s">
        <v>44</v>
      </c>
      <c r="B44" t="s">
        <v>104</v>
      </c>
      <c r="C44" t="s">
        <v>83</v>
      </c>
      <c r="D44" t="s">
        <v>109</v>
      </c>
      <c r="E44" t="s">
        <v>50</v>
      </c>
      <c r="F44">
        <v>15</v>
      </c>
      <c r="G44">
        <v>10</v>
      </c>
      <c r="H44">
        <v>0</v>
      </c>
      <c r="I44">
        <v>100</v>
      </c>
      <c r="J44">
        <v>4064</v>
      </c>
      <c r="K44" t="s">
        <v>23</v>
      </c>
    </row>
    <row r="45" spans="1:11" x14ac:dyDescent="0.3">
      <c r="A45" t="s">
        <v>44</v>
      </c>
      <c r="B45" t="s">
        <v>104</v>
      </c>
      <c r="C45" t="s">
        <v>110</v>
      </c>
      <c r="D45" t="s">
        <v>111</v>
      </c>
      <c r="E45" t="s">
        <v>50</v>
      </c>
      <c r="F45">
        <v>15</v>
      </c>
      <c r="G45">
        <v>10</v>
      </c>
      <c r="H45">
        <v>0</v>
      </c>
      <c r="I45">
        <v>100</v>
      </c>
      <c r="J45">
        <v>4064</v>
      </c>
      <c r="K45" t="s">
        <v>23</v>
      </c>
    </row>
    <row r="46" spans="1:11" x14ac:dyDescent="0.3">
      <c r="A46" t="s">
        <v>44</v>
      </c>
      <c r="B46" t="s">
        <v>44</v>
      </c>
      <c r="C46" t="s">
        <v>112</v>
      </c>
      <c r="D46" t="s">
        <v>113</v>
      </c>
      <c r="E46" t="s">
        <v>47</v>
      </c>
      <c r="F46">
        <v>15</v>
      </c>
      <c r="G46">
        <v>5</v>
      </c>
      <c r="H46">
        <v>0</v>
      </c>
      <c r="I46">
        <v>100</v>
      </c>
      <c r="J46">
        <v>4064</v>
      </c>
      <c r="K46" t="s">
        <v>23</v>
      </c>
    </row>
    <row r="47" spans="1:11" x14ac:dyDescent="0.3">
      <c r="A47" t="s">
        <v>44</v>
      </c>
      <c r="B47" t="s">
        <v>114</v>
      </c>
      <c r="C47" t="s">
        <v>115</v>
      </c>
      <c r="E47" t="s">
        <v>50</v>
      </c>
      <c r="F47">
        <v>15</v>
      </c>
      <c r="G47">
        <v>15</v>
      </c>
      <c r="H47">
        <v>0</v>
      </c>
      <c r="I47">
        <v>100</v>
      </c>
      <c r="J47">
        <v>4064</v>
      </c>
      <c r="K47" t="s">
        <v>23</v>
      </c>
    </row>
    <row r="48" spans="1:11" x14ac:dyDescent="0.3">
      <c r="A48" t="s">
        <v>44</v>
      </c>
      <c r="B48" t="s">
        <v>113</v>
      </c>
      <c r="C48" t="s">
        <v>89</v>
      </c>
      <c r="D48" t="s">
        <v>116</v>
      </c>
      <c r="E48" t="s">
        <v>47</v>
      </c>
      <c r="F48">
        <v>15</v>
      </c>
      <c r="G48">
        <v>10</v>
      </c>
      <c r="H48">
        <v>0</v>
      </c>
      <c r="I48">
        <v>100</v>
      </c>
      <c r="J48">
        <v>4064</v>
      </c>
      <c r="K48" t="s">
        <v>23</v>
      </c>
    </row>
    <row r="49" spans="1:11" x14ac:dyDescent="0.3">
      <c r="A49" t="s">
        <v>44</v>
      </c>
      <c r="B49" t="s">
        <v>113</v>
      </c>
      <c r="C49" t="s">
        <v>117</v>
      </c>
      <c r="D49" t="s">
        <v>118</v>
      </c>
      <c r="E49" t="s">
        <v>47</v>
      </c>
      <c r="F49">
        <v>20</v>
      </c>
      <c r="G49">
        <v>15</v>
      </c>
      <c r="H49">
        <v>0</v>
      </c>
      <c r="I49">
        <v>100</v>
      </c>
      <c r="J49">
        <v>4064</v>
      </c>
      <c r="K49" t="s">
        <v>23</v>
      </c>
    </row>
    <row r="50" spans="1:11" x14ac:dyDescent="0.3">
      <c r="A50" t="s">
        <v>44</v>
      </c>
      <c r="B50" t="s">
        <v>114</v>
      </c>
      <c r="C50" t="s">
        <v>119</v>
      </c>
      <c r="E50" t="s">
        <v>50</v>
      </c>
      <c r="F50">
        <v>15</v>
      </c>
      <c r="G50">
        <v>10</v>
      </c>
      <c r="H50">
        <v>0</v>
      </c>
      <c r="I50">
        <v>100</v>
      </c>
      <c r="J50">
        <v>4064</v>
      </c>
      <c r="K50" t="s">
        <v>23</v>
      </c>
    </row>
    <row r="51" spans="1:11" x14ac:dyDescent="0.3">
      <c r="A51" t="s">
        <v>44</v>
      </c>
      <c r="B51" t="s">
        <v>120</v>
      </c>
      <c r="C51" t="s">
        <v>121</v>
      </c>
      <c r="D51" t="s">
        <v>122</v>
      </c>
      <c r="E51" t="s">
        <v>50</v>
      </c>
      <c r="F51">
        <v>15</v>
      </c>
      <c r="G51">
        <v>10</v>
      </c>
      <c r="H51">
        <v>0</v>
      </c>
      <c r="I51">
        <v>100</v>
      </c>
      <c r="J51">
        <v>4064</v>
      </c>
      <c r="K51" t="s">
        <v>23</v>
      </c>
    </row>
    <row r="52" spans="1:11" x14ac:dyDescent="0.3">
      <c r="A52" t="s">
        <v>44</v>
      </c>
      <c r="B52" t="s">
        <v>120</v>
      </c>
      <c r="C52" t="s">
        <v>123</v>
      </c>
      <c r="D52" t="s">
        <v>124</v>
      </c>
      <c r="E52" t="s">
        <v>50</v>
      </c>
      <c r="F52">
        <v>20</v>
      </c>
      <c r="G52">
        <v>15</v>
      </c>
      <c r="H52">
        <v>0</v>
      </c>
      <c r="I52">
        <v>100</v>
      </c>
      <c r="J52">
        <v>4064</v>
      </c>
      <c r="K52" t="s">
        <v>23</v>
      </c>
    </row>
    <row r="53" spans="1:11" x14ac:dyDescent="0.3">
      <c r="A53" t="s">
        <v>44</v>
      </c>
      <c r="B53" t="s">
        <v>125</v>
      </c>
      <c r="C53" t="s">
        <v>126</v>
      </c>
      <c r="D53" t="s">
        <v>127</v>
      </c>
      <c r="E53" t="s">
        <v>128</v>
      </c>
      <c r="F53">
        <v>15</v>
      </c>
      <c r="G53">
        <v>5</v>
      </c>
      <c r="H53">
        <v>0</v>
      </c>
      <c r="I53">
        <v>100</v>
      </c>
      <c r="J53">
        <v>4078</v>
      </c>
      <c r="K53" t="s">
        <v>23</v>
      </c>
    </row>
    <row r="54" spans="1:11" x14ac:dyDescent="0.3">
      <c r="A54" t="s">
        <v>44</v>
      </c>
      <c r="B54" t="s">
        <v>125</v>
      </c>
      <c r="C54" t="s">
        <v>129</v>
      </c>
      <c r="D54" t="s">
        <v>130</v>
      </c>
      <c r="E54" t="s">
        <v>128</v>
      </c>
      <c r="F54">
        <v>15</v>
      </c>
      <c r="G54">
        <v>5</v>
      </c>
      <c r="H54">
        <v>0</v>
      </c>
      <c r="I54">
        <v>100</v>
      </c>
      <c r="J54">
        <v>4078</v>
      </c>
      <c r="K54" t="s">
        <v>23</v>
      </c>
    </row>
    <row r="55" spans="1:11" x14ac:dyDescent="0.3">
      <c r="A55" t="s">
        <v>44</v>
      </c>
      <c r="B55" t="s">
        <v>131</v>
      </c>
      <c r="C55" t="s">
        <v>132</v>
      </c>
      <c r="D55" t="s">
        <v>133</v>
      </c>
      <c r="E55" t="s">
        <v>128</v>
      </c>
      <c r="F55">
        <v>15</v>
      </c>
      <c r="G55">
        <v>5</v>
      </c>
      <c r="H55">
        <v>0</v>
      </c>
      <c r="I55">
        <v>100</v>
      </c>
      <c r="J55">
        <v>4078</v>
      </c>
      <c r="K55" t="s">
        <v>23</v>
      </c>
    </row>
    <row r="56" spans="1:11" x14ac:dyDescent="0.3">
      <c r="A56" t="s">
        <v>44</v>
      </c>
      <c r="B56" t="s">
        <v>131</v>
      </c>
      <c r="C56" t="s">
        <v>134</v>
      </c>
      <c r="D56" t="s">
        <v>135</v>
      </c>
      <c r="E56" t="s">
        <v>128</v>
      </c>
      <c r="F56">
        <v>15</v>
      </c>
      <c r="G56">
        <v>5</v>
      </c>
      <c r="H56">
        <v>0</v>
      </c>
      <c r="I56">
        <v>100</v>
      </c>
      <c r="J56">
        <v>4078</v>
      </c>
      <c r="K56" t="s">
        <v>23</v>
      </c>
    </row>
    <row r="57" spans="1:11" x14ac:dyDescent="0.3">
      <c r="A57" t="s">
        <v>44</v>
      </c>
      <c r="B57" t="s">
        <v>131</v>
      </c>
      <c r="C57" t="s">
        <v>136</v>
      </c>
      <c r="D57" t="s">
        <v>137</v>
      </c>
      <c r="E57" t="s">
        <v>128</v>
      </c>
      <c r="F57">
        <v>25</v>
      </c>
      <c r="G57">
        <v>25</v>
      </c>
      <c r="H57">
        <v>0</v>
      </c>
      <c r="I57">
        <v>100</v>
      </c>
      <c r="J57">
        <v>4064</v>
      </c>
      <c r="K57" t="s">
        <v>23</v>
      </c>
    </row>
    <row r="58" spans="1:11" x14ac:dyDescent="0.3">
      <c r="A58" t="s">
        <v>44</v>
      </c>
      <c r="B58" t="s">
        <v>131</v>
      </c>
      <c r="C58" t="s">
        <v>138</v>
      </c>
      <c r="D58" t="s">
        <v>139</v>
      </c>
      <c r="E58" t="s">
        <v>128</v>
      </c>
      <c r="F58">
        <v>70</v>
      </c>
      <c r="G58">
        <v>65</v>
      </c>
      <c r="H58">
        <v>0</v>
      </c>
      <c r="I58">
        <v>100</v>
      </c>
      <c r="J58">
        <v>4064</v>
      </c>
      <c r="K58" t="s">
        <v>23</v>
      </c>
    </row>
    <row r="59" spans="1:11" x14ac:dyDescent="0.3">
      <c r="A59" t="s">
        <v>44</v>
      </c>
      <c r="B59" t="s">
        <v>131</v>
      </c>
      <c r="C59" t="s">
        <v>140</v>
      </c>
      <c r="D59" t="s">
        <v>141</v>
      </c>
      <c r="E59" t="s">
        <v>128</v>
      </c>
      <c r="F59">
        <v>25</v>
      </c>
      <c r="G59">
        <v>20</v>
      </c>
      <c r="H59">
        <v>0</v>
      </c>
      <c r="I59">
        <v>100</v>
      </c>
      <c r="J59">
        <v>4064</v>
      </c>
      <c r="K59" t="s">
        <v>23</v>
      </c>
    </row>
    <row r="60" spans="1:11" x14ac:dyDescent="0.3">
      <c r="A60" t="s">
        <v>44</v>
      </c>
      <c r="B60" t="s">
        <v>131</v>
      </c>
      <c r="C60" t="s">
        <v>142</v>
      </c>
      <c r="D60" t="s">
        <v>143</v>
      </c>
      <c r="E60" t="s">
        <v>128</v>
      </c>
      <c r="F60">
        <v>20</v>
      </c>
      <c r="G60">
        <v>20</v>
      </c>
      <c r="H60">
        <v>0</v>
      </c>
      <c r="I60">
        <v>100</v>
      </c>
      <c r="J60">
        <v>4064</v>
      </c>
      <c r="K60" t="s">
        <v>23</v>
      </c>
    </row>
    <row r="61" spans="1:11" x14ac:dyDescent="0.3">
      <c r="A61" t="s">
        <v>44</v>
      </c>
      <c r="B61" t="s">
        <v>131</v>
      </c>
      <c r="C61" t="s">
        <v>144</v>
      </c>
      <c r="D61" t="s">
        <v>145</v>
      </c>
      <c r="E61" t="s">
        <v>128</v>
      </c>
      <c r="F61">
        <v>60</v>
      </c>
      <c r="G61">
        <v>70</v>
      </c>
      <c r="H61">
        <v>0</v>
      </c>
      <c r="I61">
        <v>100</v>
      </c>
      <c r="J61">
        <v>4064</v>
      </c>
      <c r="K61" t="s">
        <v>23</v>
      </c>
    </row>
    <row r="62" spans="1:11" x14ac:dyDescent="0.3">
      <c r="A62" t="s">
        <v>44</v>
      </c>
      <c r="B62" t="s">
        <v>146</v>
      </c>
      <c r="C62" t="s">
        <v>147</v>
      </c>
      <c r="D62" t="s">
        <v>148</v>
      </c>
      <c r="E62" t="s">
        <v>47</v>
      </c>
      <c r="F62">
        <v>15</v>
      </c>
      <c r="G62">
        <v>7</v>
      </c>
      <c r="H62">
        <v>0</v>
      </c>
      <c r="I62">
        <v>100</v>
      </c>
      <c r="J62">
        <v>4064</v>
      </c>
      <c r="K62" t="s">
        <v>23</v>
      </c>
    </row>
    <row r="63" spans="1:11" x14ac:dyDescent="0.3">
      <c r="A63" t="s">
        <v>44</v>
      </c>
      <c r="B63" t="s">
        <v>146</v>
      </c>
      <c r="C63" t="s">
        <v>147</v>
      </c>
      <c r="D63" t="s">
        <v>149</v>
      </c>
      <c r="E63" t="s">
        <v>47</v>
      </c>
      <c r="F63">
        <v>15</v>
      </c>
      <c r="G63">
        <v>8</v>
      </c>
      <c r="H63">
        <v>0</v>
      </c>
      <c r="I63">
        <v>100</v>
      </c>
      <c r="J63">
        <v>4064</v>
      </c>
      <c r="K63" t="s">
        <v>23</v>
      </c>
    </row>
    <row r="64" spans="1:11" x14ac:dyDescent="0.3">
      <c r="A64" t="s">
        <v>44</v>
      </c>
      <c r="B64" t="s">
        <v>146</v>
      </c>
      <c r="C64" t="s">
        <v>150</v>
      </c>
      <c r="D64" t="s">
        <v>151</v>
      </c>
      <c r="E64" t="s">
        <v>50</v>
      </c>
      <c r="F64">
        <v>15</v>
      </c>
      <c r="G64">
        <v>10</v>
      </c>
      <c r="H64">
        <v>0</v>
      </c>
      <c r="I64">
        <v>100</v>
      </c>
      <c r="J64">
        <v>4064</v>
      </c>
      <c r="K64" t="s">
        <v>23</v>
      </c>
    </row>
    <row r="65" spans="1:11" x14ac:dyDescent="0.3">
      <c r="A65" t="s">
        <v>44</v>
      </c>
      <c r="B65" t="s">
        <v>146</v>
      </c>
      <c r="C65" t="s">
        <v>150</v>
      </c>
      <c r="D65" t="s">
        <v>152</v>
      </c>
      <c r="E65" t="s">
        <v>50</v>
      </c>
      <c r="F65">
        <v>15</v>
      </c>
      <c r="G65">
        <v>10</v>
      </c>
      <c r="H65">
        <v>0</v>
      </c>
      <c r="I65">
        <v>100</v>
      </c>
      <c r="J65">
        <v>4064</v>
      </c>
      <c r="K65" t="s">
        <v>23</v>
      </c>
    </row>
    <row r="66" spans="1:11" x14ac:dyDescent="0.3">
      <c r="A66" t="s">
        <v>44</v>
      </c>
      <c r="B66" t="s">
        <v>146</v>
      </c>
      <c r="C66" t="s">
        <v>150</v>
      </c>
      <c r="D66" t="s">
        <v>153</v>
      </c>
      <c r="E66" t="s">
        <v>50</v>
      </c>
      <c r="F66">
        <v>15</v>
      </c>
      <c r="G66">
        <v>10</v>
      </c>
      <c r="H66">
        <v>0</v>
      </c>
      <c r="I66">
        <v>100</v>
      </c>
      <c r="J66">
        <v>4064</v>
      </c>
      <c r="K66" t="s">
        <v>23</v>
      </c>
    </row>
    <row r="67" spans="1:11" x14ac:dyDescent="0.3">
      <c r="A67" t="s">
        <v>44</v>
      </c>
      <c r="B67" t="s">
        <v>146</v>
      </c>
      <c r="C67" t="s">
        <v>150</v>
      </c>
      <c r="D67" t="s">
        <v>154</v>
      </c>
      <c r="E67" t="s">
        <v>50</v>
      </c>
      <c r="F67">
        <v>25</v>
      </c>
      <c r="G67">
        <v>30</v>
      </c>
      <c r="H67">
        <v>0</v>
      </c>
      <c r="I67">
        <v>100</v>
      </c>
      <c r="J67">
        <v>4064</v>
      </c>
      <c r="K67" t="s">
        <v>23</v>
      </c>
    </row>
    <row r="68" spans="1:11" x14ac:dyDescent="0.3">
      <c r="A68" t="s">
        <v>44</v>
      </c>
      <c r="B68" t="s">
        <v>146</v>
      </c>
      <c r="C68" t="s">
        <v>150</v>
      </c>
      <c r="D68" t="s">
        <v>155</v>
      </c>
      <c r="E68" t="s">
        <v>50</v>
      </c>
      <c r="F68">
        <v>15</v>
      </c>
      <c r="G68">
        <v>5</v>
      </c>
      <c r="H68">
        <v>0</v>
      </c>
      <c r="I68">
        <v>100</v>
      </c>
      <c r="J68">
        <v>4064</v>
      </c>
      <c r="K68" t="s">
        <v>23</v>
      </c>
    </row>
    <row r="69" spans="1:11" x14ac:dyDescent="0.3">
      <c r="A69" t="s">
        <v>44</v>
      </c>
      <c r="B69" t="s">
        <v>146</v>
      </c>
      <c r="C69" t="s">
        <v>150</v>
      </c>
      <c r="D69" t="s">
        <v>156</v>
      </c>
      <c r="E69" t="s">
        <v>47</v>
      </c>
      <c r="F69">
        <v>50</v>
      </c>
      <c r="G69">
        <v>60</v>
      </c>
      <c r="H69">
        <v>0</v>
      </c>
      <c r="I69">
        <v>100</v>
      </c>
      <c r="J69">
        <v>4064</v>
      </c>
      <c r="K69" t="s">
        <v>23</v>
      </c>
    </row>
    <row r="70" spans="1:11" x14ac:dyDescent="0.3">
      <c r="A70" t="s">
        <v>44</v>
      </c>
      <c r="B70" t="s">
        <v>157</v>
      </c>
      <c r="C70" t="s">
        <v>158</v>
      </c>
      <c r="D70" t="s">
        <v>159</v>
      </c>
      <c r="E70" t="s">
        <v>47</v>
      </c>
      <c r="F70">
        <v>40</v>
      </c>
      <c r="G70">
        <v>30</v>
      </c>
      <c r="H70">
        <v>0</v>
      </c>
      <c r="I70">
        <v>100</v>
      </c>
      <c r="J70">
        <v>4078</v>
      </c>
      <c r="K70" t="s">
        <v>23</v>
      </c>
    </row>
    <row r="71" spans="1:11" x14ac:dyDescent="0.3">
      <c r="A71" t="s">
        <v>44</v>
      </c>
      <c r="B71" t="s">
        <v>160</v>
      </c>
      <c r="C71" t="s">
        <v>161</v>
      </c>
      <c r="D71" t="s">
        <v>162</v>
      </c>
      <c r="E71" t="s">
        <v>47</v>
      </c>
      <c r="F71">
        <v>15</v>
      </c>
      <c r="G71">
        <v>10</v>
      </c>
      <c r="H71">
        <v>0</v>
      </c>
      <c r="I71">
        <v>100</v>
      </c>
      <c r="J71">
        <v>4078</v>
      </c>
      <c r="K71" t="s">
        <v>23</v>
      </c>
    </row>
    <row r="72" spans="1:11" x14ac:dyDescent="0.3">
      <c r="A72" t="s">
        <v>44</v>
      </c>
      <c r="B72" t="s">
        <v>160</v>
      </c>
      <c r="C72" t="s">
        <v>163</v>
      </c>
      <c r="D72" t="s">
        <v>164</v>
      </c>
      <c r="E72" t="s">
        <v>50</v>
      </c>
      <c r="F72">
        <v>15</v>
      </c>
      <c r="G72">
        <v>5</v>
      </c>
      <c r="H72">
        <v>0</v>
      </c>
      <c r="I72">
        <v>100</v>
      </c>
      <c r="J72">
        <v>4078</v>
      </c>
      <c r="K72" t="s">
        <v>23</v>
      </c>
    </row>
    <row r="73" spans="1:11" x14ac:dyDescent="0.3">
      <c r="A73" t="s">
        <v>44</v>
      </c>
      <c r="B73" t="s">
        <v>165</v>
      </c>
      <c r="C73" t="s">
        <v>166</v>
      </c>
      <c r="D73" t="s">
        <v>167</v>
      </c>
      <c r="E73" t="s">
        <v>168</v>
      </c>
      <c r="F73">
        <v>15</v>
      </c>
      <c r="G73">
        <v>15</v>
      </c>
      <c r="H73">
        <v>0</v>
      </c>
      <c r="I73">
        <v>100</v>
      </c>
      <c r="J73">
        <v>4078</v>
      </c>
      <c r="K73" t="s">
        <v>23</v>
      </c>
    </row>
    <row r="74" spans="1:11" x14ac:dyDescent="0.3">
      <c r="A74" t="s">
        <v>44</v>
      </c>
      <c r="B74" t="s">
        <v>165</v>
      </c>
      <c r="C74" t="s">
        <v>166</v>
      </c>
      <c r="D74" t="s">
        <v>169</v>
      </c>
      <c r="E74" t="s">
        <v>128</v>
      </c>
      <c r="F74">
        <v>20</v>
      </c>
      <c r="G74">
        <v>20</v>
      </c>
      <c r="H74">
        <v>0</v>
      </c>
      <c r="I74">
        <v>100</v>
      </c>
      <c r="J74">
        <v>4078</v>
      </c>
      <c r="K74" t="s">
        <v>23</v>
      </c>
    </row>
    <row r="75" spans="1:11" x14ac:dyDescent="0.3">
      <c r="A75" t="s">
        <v>44</v>
      </c>
      <c r="B75" t="s">
        <v>131</v>
      </c>
      <c r="C75" t="s">
        <v>170</v>
      </c>
      <c r="D75" t="s">
        <v>171</v>
      </c>
      <c r="E75" t="s">
        <v>128</v>
      </c>
      <c r="F75">
        <v>15</v>
      </c>
      <c r="G75">
        <v>10</v>
      </c>
      <c r="H75">
        <v>0</v>
      </c>
      <c r="I75">
        <v>100</v>
      </c>
      <c r="J75">
        <v>4064</v>
      </c>
      <c r="K75" t="s">
        <v>23</v>
      </c>
    </row>
    <row r="76" spans="1:11" x14ac:dyDescent="0.3">
      <c r="A76" t="s">
        <v>44</v>
      </c>
      <c r="B76" t="s">
        <v>131</v>
      </c>
      <c r="C76" t="s">
        <v>172</v>
      </c>
      <c r="D76" t="s">
        <v>173</v>
      </c>
      <c r="E76" t="s">
        <v>128</v>
      </c>
      <c r="F76">
        <v>60</v>
      </c>
      <c r="G76">
        <v>60</v>
      </c>
      <c r="H76">
        <v>0</v>
      </c>
      <c r="I76">
        <v>100</v>
      </c>
      <c r="J76">
        <v>4078</v>
      </c>
      <c r="K76" t="s">
        <v>23</v>
      </c>
    </row>
    <row r="77" spans="1:11" x14ac:dyDescent="0.3">
      <c r="A77" t="s">
        <v>174</v>
      </c>
      <c r="B77" t="s">
        <v>175</v>
      </c>
      <c r="C77" t="s">
        <v>176</v>
      </c>
      <c r="D77" t="s">
        <v>177</v>
      </c>
      <c r="E77" t="s">
        <v>178</v>
      </c>
      <c r="F77">
        <v>15</v>
      </c>
      <c r="G77">
        <v>20</v>
      </c>
      <c r="H77">
        <v>0</v>
      </c>
      <c r="I77">
        <v>100</v>
      </c>
      <c r="J77">
        <v>4107</v>
      </c>
      <c r="K7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Synthese</vt:lpstr>
      <vt:lpstr>liste des taches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koloina Andry</cp:lastModifiedBy>
  <dcterms:created xsi:type="dcterms:W3CDTF">2026-02-17T11:46:40Z</dcterms:created>
  <dcterms:modified xsi:type="dcterms:W3CDTF">2026-02-17T12:26:46Z</dcterms:modified>
</cp:coreProperties>
</file>